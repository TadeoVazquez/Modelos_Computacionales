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areas\archivos modelos comp\"/>
    </mc:Choice>
  </mc:AlternateContent>
  <xr:revisionPtr revIDLastSave="0" documentId="13_ncr:1_{4E607A63-29E5-46E3-BAEA-FEC4DAD07AB7}" xr6:coauthVersionLast="47" xr6:coauthVersionMax="47" xr10:uidLastSave="{00000000-0000-0000-0000-000000000000}"/>
  <bookViews>
    <workbookView xWindow="-120" yWindow="-120" windowWidth="20730" windowHeight="11160" xr2:uid="{9E7EE325-77B8-40D9-A840-BB0929EA7AAB}"/>
  </bookViews>
  <sheets>
    <sheet name="Hoja1" sheetId="1" r:id="rId1"/>
  </sheets>
  <definedNames>
    <definedName name="_xlnm.Print_Area" localSheetId="0">Hoja1!$A$2:$K$53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1" l="1"/>
  <c r="O4" i="1"/>
  <c r="M4" i="1"/>
  <c r="L4" i="1"/>
  <c r="Q4" i="1" s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4" i="1"/>
  <c r="N4" i="1" s="1"/>
</calcChain>
</file>

<file path=xl/sharedStrings.xml><?xml version="1.0" encoding="utf-8"?>
<sst xmlns="http://schemas.openxmlformats.org/spreadsheetml/2006/main" count="317" uniqueCount="139">
  <si>
    <t>Anaquel</t>
  </si>
  <si>
    <t>Repisa</t>
  </si>
  <si>
    <t>Nombre</t>
  </si>
  <si>
    <t>Marca</t>
  </si>
  <si>
    <t>Tipo</t>
  </si>
  <si>
    <t>Cantidad</t>
  </si>
  <si>
    <t>Precio venta</t>
  </si>
  <si>
    <t>Precio compra</t>
  </si>
  <si>
    <t>Código de barras</t>
  </si>
  <si>
    <t>Sabritas</t>
  </si>
  <si>
    <t>Marinela</t>
  </si>
  <si>
    <t>Bimbo</t>
  </si>
  <si>
    <t>Barcel</t>
  </si>
  <si>
    <t>Coca-Cola</t>
  </si>
  <si>
    <t>Pepsi</t>
  </si>
  <si>
    <t>Papas clásicas</t>
  </si>
  <si>
    <t>Fritura</t>
  </si>
  <si>
    <t>Cheetos puff</t>
  </si>
  <si>
    <t>Doritos</t>
  </si>
  <si>
    <t>Tostitos clasicos</t>
  </si>
  <si>
    <t>Ruffles regulares</t>
  </si>
  <si>
    <t>Rancheritos</t>
  </si>
  <si>
    <t>Sabritones familiares</t>
  </si>
  <si>
    <t>Fritos</t>
  </si>
  <si>
    <t>Churrumais</t>
  </si>
  <si>
    <t>Tostitos salsa verde</t>
  </si>
  <si>
    <t>Gansito</t>
  </si>
  <si>
    <t>Submarinos</t>
  </si>
  <si>
    <t>Pingüinos</t>
  </si>
  <si>
    <t>Barritas de fresa</t>
  </si>
  <si>
    <t>Roles de canela</t>
  </si>
  <si>
    <t>Pan</t>
  </si>
  <si>
    <t>Barra pan bimbo regular gde</t>
  </si>
  <si>
    <t>Mantecadas tía rosa</t>
  </si>
  <si>
    <t>Muffins</t>
  </si>
  <si>
    <t>Donas</t>
  </si>
  <si>
    <t>Barra de avena</t>
  </si>
  <si>
    <t>Brownies</t>
  </si>
  <si>
    <t>Conchas</t>
  </si>
  <si>
    <t>Panquecitos</t>
  </si>
  <si>
    <t>Mantecadas</t>
  </si>
  <si>
    <t>Sandwich Thins</t>
  </si>
  <si>
    <t>Takis fuego</t>
  </si>
  <si>
    <t>Takis nitro</t>
  </si>
  <si>
    <t>Takis crunchy</t>
  </si>
  <si>
    <t>Cacahuates hot nuts</t>
  </si>
  <si>
    <t>Churritos</t>
  </si>
  <si>
    <t>Papas toreadas</t>
  </si>
  <si>
    <t>Paleta payaso</t>
  </si>
  <si>
    <t>Chips clásicas</t>
  </si>
  <si>
    <t>Chips fuego</t>
  </si>
  <si>
    <t>Torciditos</t>
  </si>
  <si>
    <t>Cacauates</t>
  </si>
  <si>
    <t>Dulce</t>
  </si>
  <si>
    <t>Refresco</t>
  </si>
  <si>
    <t>Agua</t>
  </si>
  <si>
    <t>Clásica 600ml</t>
  </si>
  <si>
    <t>Zero azúcar 600ml</t>
  </si>
  <si>
    <t>Light 600ml</t>
  </si>
  <si>
    <t>Cherry 355ml</t>
  </si>
  <si>
    <t>Vainilla 355ml</t>
  </si>
  <si>
    <t>Lima 355ml</t>
  </si>
  <si>
    <t>Orange vainilla 355ml</t>
  </si>
  <si>
    <t>Energy 355ml</t>
  </si>
  <si>
    <t>Ciel 600ml</t>
  </si>
  <si>
    <t>Garrafón ciel 20lt</t>
  </si>
  <si>
    <t>Mountain Dew 355ml</t>
  </si>
  <si>
    <t>Black 600ml</t>
  </si>
  <si>
    <t>Regular 600ml</t>
  </si>
  <si>
    <t>Wild cherry 355ml</t>
  </si>
  <si>
    <t>SB009</t>
  </si>
  <si>
    <t>SB010</t>
  </si>
  <si>
    <t>SB008</t>
  </si>
  <si>
    <t>SB007</t>
  </si>
  <si>
    <t>SB006</t>
  </si>
  <si>
    <t>SB005</t>
  </si>
  <si>
    <t>SB004</t>
  </si>
  <si>
    <t>SB003</t>
  </si>
  <si>
    <t>SB002</t>
  </si>
  <si>
    <t>SB001</t>
  </si>
  <si>
    <t>MN001</t>
  </si>
  <si>
    <t>MN002</t>
  </si>
  <si>
    <t>MN003</t>
  </si>
  <si>
    <t>MN004</t>
  </si>
  <si>
    <t>MN005</t>
  </si>
  <si>
    <t>BMB001</t>
  </si>
  <si>
    <t>BMB002</t>
  </si>
  <si>
    <t>BMB003</t>
  </si>
  <si>
    <t>BMB004</t>
  </si>
  <si>
    <t>BMB005</t>
  </si>
  <si>
    <t>BMB006</t>
  </si>
  <si>
    <t>BMB007</t>
  </si>
  <si>
    <t>BMB008</t>
  </si>
  <si>
    <t>BMB009</t>
  </si>
  <si>
    <t>BMB010</t>
  </si>
  <si>
    <t>BL001</t>
  </si>
  <si>
    <t>BL003</t>
  </si>
  <si>
    <t>BL006</t>
  </si>
  <si>
    <t>BL004</t>
  </si>
  <si>
    <t>BL008</t>
  </si>
  <si>
    <t>BL002</t>
  </si>
  <si>
    <t>BL005</t>
  </si>
  <si>
    <t>BL007</t>
  </si>
  <si>
    <t>BL009</t>
  </si>
  <si>
    <t>BL010</t>
  </si>
  <si>
    <t>CC001</t>
  </si>
  <si>
    <t>CC006</t>
  </si>
  <si>
    <t>CC002</t>
  </si>
  <si>
    <t>CC003</t>
  </si>
  <si>
    <t>CC004</t>
  </si>
  <si>
    <t>CC005</t>
  </si>
  <si>
    <t>CC007</t>
  </si>
  <si>
    <t>CC008</t>
  </si>
  <si>
    <t>CC009</t>
  </si>
  <si>
    <t>CC010</t>
  </si>
  <si>
    <t>PSC001</t>
  </si>
  <si>
    <t>PSC002</t>
  </si>
  <si>
    <t>PSC003</t>
  </si>
  <si>
    <t>PSC004</t>
  </si>
  <si>
    <t>PSC005</t>
  </si>
  <si>
    <t>E1</t>
  </si>
  <si>
    <t>R1</t>
  </si>
  <si>
    <t>R2</t>
  </si>
  <si>
    <t>R3</t>
  </si>
  <si>
    <t>E2</t>
  </si>
  <si>
    <t>E3</t>
  </si>
  <si>
    <t>R4</t>
  </si>
  <si>
    <t>ER1</t>
  </si>
  <si>
    <t>ER2</t>
  </si>
  <si>
    <t>EE1</t>
  </si>
  <si>
    <t>R5</t>
  </si>
  <si>
    <t>Demanda</t>
  </si>
  <si>
    <t>Inventario actual</t>
  </si>
  <si>
    <t>DI</t>
  </si>
  <si>
    <t>PI</t>
  </si>
  <si>
    <t>PD</t>
  </si>
  <si>
    <t>PIA</t>
  </si>
  <si>
    <t>PPV</t>
  </si>
  <si>
    <t>PPC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</si>
</sst>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0" fontId="0" fillId="4" borderId="0" xfId="0" applyFill="1"/>
    <xf numFmtId="0" fontId="3" fillId="4" borderId="0" xfId="0" applyFont="1" applyFill="1"/>
    <xf numFmtId="0" fontId="0" fillId="5" borderId="0" xfId="0" applyFill="1"/>
    <xf numFmtId="0" fontId="3" fillId="5" borderId="0" xfId="0" applyFont="1" applyFill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3" fillId="7" borderId="0" xfId="0" applyFont="1" applyFill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2" fillId="8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4" borderId="0" xfId="0" applyFill="1" applyAlignment="1">
      <alignment horizontal="center"/>
    </xf>
    <xf numFmtId="44" fontId="0" fillId="14" borderId="0" xfId="1" applyFont="1" applyFill="1" applyAlignment="1">
      <alignment horizontal="center"/>
    </xf>
    <xf numFmtId="44" fontId="0" fillId="15" borderId="0" xfId="1" applyFont="1" applyFill="1" applyAlignment="1">
      <alignment horizontal="center"/>
    </xf>
    <xf numFmtId="0" fontId="0" fillId="16" borderId="0" xfId="0" applyFill="1"/>
    <xf numFmtId="0" fontId="3" fillId="16" borderId="0" xfId="0" applyFont="1" applyFill="1"/>
    <xf numFmtId="0" fontId="0" fillId="17" borderId="0" xfId="0" applyFill="1"/>
    <xf numFmtId="0" fontId="3" fillId="17" borderId="0" xfId="0" applyFont="1" applyFill="1"/>
    <xf numFmtId="0" fontId="0" fillId="18" borderId="0" xfId="0" applyFill="1"/>
    <xf numFmtId="0" fontId="0" fillId="19" borderId="0" xfId="0" applyFill="1"/>
    <xf numFmtId="0" fontId="3" fillId="18" borderId="0" xfId="0" applyFont="1" applyFill="1"/>
    <xf numFmtId="0" fontId="0" fillId="20" borderId="0" xfId="0" applyFill="1"/>
    <xf numFmtId="0" fontId="5" fillId="20" borderId="0" xfId="0" applyFont="1" applyFill="1"/>
    <xf numFmtId="44" fontId="5" fillId="20" borderId="0" xfId="0" applyNumberFormat="1" applyFont="1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99FF"/>
      <color rgb="FFFF3399"/>
      <color rgb="FFCC66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D409-DF4A-48F8-B43A-C91B58E3225B}">
  <sheetPr codeName="Hoja1"/>
  <dimension ref="A2:Q53"/>
  <sheetViews>
    <sheetView tabSelected="1" topLeftCell="D1" zoomScale="90" zoomScaleNormal="90" workbookViewId="0">
      <selection activeCell="L2" sqref="L2:Q6"/>
    </sheetView>
  </sheetViews>
  <sheetFormatPr baseColWidth="10" defaultRowHeight="15" x14ac:dyDescent="0.25"/>
  <cols>
    <col min="1" max="1" width="11" customWidth="1"/>
    <col min="2" max="2" width="10" customWidth="1"/>
    <col min="3" max="3" width="27.85546875" customWidth="1"/>
    <col min="4" max="4" width="16.5703125" customWidth="1"/>
    <col min="5" max="5" width="13.7109375" customWidth="1"/>
    <col min="6" max="6" width="12.85546875" customWidth="1"/>
    <col min="7" max="7" width="11.85546875" customWidth="1"/>
    <col min="8" max="8" width="20.5703125" customWidth="1"/>
    <col min="9" max="9" width="17.140625" customWidth="1"/>
    <col min="10" max="10" width="21.140625" customWidth="1"/>
    <col min="11" max="11" width="20.7109375" customWidth="1"/>
  </cols>
  <sheetData>
    <row r="2" spans="1:17" x14ac:dyDescent="0.25">
      <c r="A2" s="1"/>
      <c r="B2" s="3"/>
      <c r="C2" s="5"/>
      <c r="D2" s="7"/>
      <c r="E2" s="9"/>
      <c r="F2" s="11"/>
      <c r="G2" s="25"/>
      <c r="H2" s="29"/>
      <c r="I2" s="13"/>
      <c r="J2" s="15"/>
      <c r="K2" s="5"/>
      <c r="L2" s="27"/>
      <c r="M2" s="27"/>
      <c r="N2" s="27"/>
      <c r="O2" s="27"/>
      <c r="P2" s="27"/>
      <c r="Q2" s="27"/>
    </row>
    <row r="3" spans="1:17" ht="15.75" x14ac:dyDescent="0.25">
      <c r="A3" s="2" t="s">
        <v>0</v>
      </c>
      <c r="B3" s="4" t="s">
        <v>1</v>
      </c>
      <c r="C3" s="6" t="s">
        <v>2</v>
      </c>
      <c r="D3" s="8" t="s">
        <v>3</v>
      </c>
      <c r="E3" s="10" t="s">
        <v>4</v>
      </c>
      <c r="F3" s="12" t="s">
        <v>5</v>
      </c>
      <c r="G3" s="26" t="s">
        <v>131</v>
      </c>
      <c r="H3" s="31" t="s">
        <v>132</v>
      </c>
      <c r="I3" s="14" t="s">
        <v>6</v>
      </c>
      <c r="J3" s="16" t="s">
        <v>7</v>
      </c>
      <c r="K3" s="6" t="s">
        <v>8</v>
      </c>
      <c r="L3" s="28" t="s">
        <v>134</v>
      </c>
      <c r="M3" s="28" t="s">
        <v>135</v>
      </c>
      <c r="N3" s="28" t="s">
        <v>136</v>
      </c>
      <c r="O3" s="28" t="s">
        <v>137</v>
      </c>
      <c r="P3" s="28" t="s">
        <v>138</v>
      </c>
      <c r="Q3" s="28" t="s">
        <v>133</v>
      </c>
    </row>
    <row r="4" spans="1:17" ht="15.75" x14ac:dyDescent="0.25">
      <c r="A4" s="17" t="s">
        <v>120</v>
      </c>
      <c r="B4" s="18" t="s">
        <v>121</v>
      </c>
      <c r="C4" s="19" t="s">
        <v>15</v>
      </c>
      <c r="D4" s="20" t="s">
        <v>9</v>
      </c>
      <c r="E4" s="21" t="s">
        <v>16</v>
      </c>
      <c r="F4" s="22">
        <v>22</v>
      </c>
      <c r="G4" s="7">
        <v>5</v>
      </c>
      <c r="H4" s="30">
        <f>F4-G4</f>
        <v>17</v>
      </c>
      <c r="I4" s="23">
        <v>22</v>
      </c>
      <c r="J4" s="24">
        <v>17</v>
      </c>
      <c r="K4" s="19" t="s">
        <v>79</v>
      </c>
      <c r="L4" s="33">
        <f>AVERAGE(F4:F53)</f>
        <v>16.36</v>
      </c>
      <c r="M4" s="33">
        <f>AVERAGE(G4:G53)</f>
        <v>4.24</v>
      </c>
      <c r="N4" s="33">
        <f>AVERAGE(H4:H53)</f>
        <v>12.12</v>
      </c>
      <c r="O4" s="34">
        <f>AVERAGE(I4:I53)</f>
        <v>20.88</v>
      </c>
      <c r="P4" s="34">
        <f>AVERAGE(J4:J53)</f>
        <v>15.9</v>
      </c>
      <c r="Q4" s="33">
        <f>L4/M4</f>
        <v>3.8584905660377355</v>
      </c>
    </row>
    <row r="5" spans="1:17" x14ac:dyDescent="0.25">
      <c r="A5" s="13" t="s">
        <v>120</v>
      </c>
      <c r="B5" s="18" t="s">
        <v>121</v>
      </c>
      <c r="C5" s="19" t="s">
        <v>17</v>
      </c>
      <c r="D5" s="20" t="s">
        <v>9</v>
      </c>
      <c r="E5" s="21" t="s">
        <v>16</v>
      </c>
      <c r="F5" s="22">
        <v>17</v>
      </c>
      <c r="G5" s="7">
        <v>6</v>
      </c>
      <c r="H5" s="30">
        <f t="shared" ref="H5:H53" si="0">F5-G5</f>
        <v>11</v>
      </c>
      <c r="I5" s="23">
        <v>18</v>
      </c>
      <c r="J5" s="24">
        <v>13</v>
      </c>
      <c r="K5" s="19" t="s">
        <v>78</v>
      </c>
      <c r="L5" s="32"/>
      <c r="M5" s="32"/>
      <c r="N5" s="32"/>
      <c r="O5" s="32"/>
      <c r="P5" s="32"/>
      <c r="Q5" s="32"/>
    </row>
    <row r="6" spans="1:17" x14ac:dyDescent="0.25">
      <c r="A6" s="13" t="s">
        <v>120</v>
      </c>
      <c r="B6" s="18" t="s">
        <v>121</v>
      </c>
      <c r="C6" s="19" t="s">
        <v>18</v>
      </c>
      <c r="D6" s="20" t="s">
        <v>9</v>
      </c>
      <c r="E6" s="21" t="s">
        <v>16</v>
      </c>
      <c r="F6" s="22">
        <v>15</v>
      </c>
      <c r="G6" s="7">
        <v>3</v>
      </c>
      <c r="H6" s="30">
        <f t="shared" si="0"/>
        <v>12</v>
      </c>
      <c r="I6" s="23">
        <v>22</v>
      </c>
      <c r="J6" s="24">
        <v>17</v>
      </c>
      <c r="K6" s="19" t="s">
        <v>77</v>
      </c>
      <c r="L6" s="32"/>
      <c r="M6" s="32"/>
      <c r="N6" s="32"/>
      <c r="O6" s="32"/>
      <c r="P6" s="32"/>
      <c r="Q6" s="32"/>
    </row>
    <row r="7" spans="1:17" x14ac:dyDescent="0.25">
      <c r="A7" s="13" t="s">
        <v>120</v>
      </c>
      <c r="B7" s="18" t="s">
        <v>122</v>
      </c>
      <c r="C7" s="19" t="s">
        <v>19</v>
      </c>
      <c r="D7" s="20" t="s">
        <v>9</v>
      </c>
      <c r="E7" s="21" t="s">
        <v>16</v>
      </c>
      <c r="F7" s="22">
        <v>35</v>
      </c>
      <c r="G7" s="7">
        <v>2</v>
      </c>
      <c r="H7" s="30">
        <f t="shared" si="0"/>
        <v>33</v>
      </c>
      <c r="I7" s="23">
        <v>17</v>
      </c>
      <c r="J7" s="24">
        <v>17</v>
      </c>
      <c r="K7" s="19" t="s">
        <v>76</v>
      </c>
    </row>
    <row r="8" spans="1:17" x14ac:dyDescent="0.25">
      <c r="A8" s="13" t="s">
        <v>120</v>
      </c>
      <c r="B8" s="18" t="s">
        <v>122</v>
      </c>
      <c r="C8" s="19" t="s">
        <v>20</v>
      </c>
      <c r="D8" s="20" t="s">
        <v>9</v>
      </c>
      <c r="E8" s="21" t="s">
        <v>16</v>
      </c>
      <c r="F8" s="22">
        <v>11</v>
      </c>
      <c r="G8" s="7">
        <v>5</v>
      </c>
      <c r="H8" s="30">
        <f t="shared" si="0"/>
        <v>6</v>
      </c>
      <c r="I8" s="23">
        <v>17</v>
      </c>
      <c r="J8" s="24">
        <v>17</v>
      </c>
      <c r="K8" s="19" t="s">
        <v>75</v>
      </c>
    </row>
    <row r="9" spans="1:17" x14ac:dyDescent="0.25">
      <c r="A9" s="13" t="s">
        <v>120</v>
      </c>
      <c r="B9" s="18" t="s">
        <v>122</v>
      </c>
      <c r="C9" s="19" t="s">
        <v>21</v>
      </c>
      <c r="D9" s="20" t="s">
        <v>9</v>
      </c>
      <c r="E9" s="21" t="s">
        <v>16</v>
      </c>
      <c r="F9" s="22">
        <v>9</v>
      </c>
      <c r="G9" s="7">
        <v>2</v>
      </c>
      <c r="H9" s="30">
        <f t="shared" si="0"/>
        <v>7</v>
      </c>
      <c r="I9" s="23">
        <v>18</v>
      </c>
      <c r="J9" s="24">
        <v>13</v>
      </c>
      <c r="K9" s="19" t="s">
        <v>74</v>
      </c>
    </row>
    <row r="10" spans="1:17" x14ac:dyDescent="0.25">
      <c r="A10" s="13" t="s">
        <v>120</v>
      </c>
      <c r="B10" s="18" t="s">
        <v>123</v>
      </c>
      <c r="C10" s="19" t="s">
        <v>22</v>
      </c>
      <c r="D10" s="20" t="s">
        <v>9</v>
      </c>
      <c r="E10" s="21" t="s">
        <v>16</v>
      </c>
      <c r="F10" s="22">
        <v>7</v>
      </c>
      <c r="G10" s="7">
        <v>1</v>
      </c>
      <c r="H10" s="30">
        <f t="shared" si="0"/>
        <v>6</v>
      </c>
      <c r="I10" s="23">
        <v>43</v>
      </c>
      <c r="J10" s="24">
        <v>38</v>
      </c>
      <c r="K10" s="19" t="s">
        <v>73</v>
      </c>
    </row>
    <row r="11" spans="1:17" x14ac:dyDescent="0.25">
      <c r="A11" s="13" t="s">
        <v>120</v>
      </c>
      <c r="B11" s="18" t="s">
        <v>123</v>
      </c>
      <c r="C11" s="19" t="s">
        <v>23</v>
      </c>
      <c r="D11" s="20" t="s">
        <v>9</v>
      </c>
      <c r="E11" s="21" t="s">
        <v>16</v>
      </c>
      <c r="F11" s="22">
        <v>10</v>
      </c>
      <c r="G11" s="7">
        <v>0</v>
      </c>
      <c r="H11" s="30">
        <f t="shared" si="0"/>
        <v>10</v>
      </c>
      <c r="I11" s="23">
        <v>17</v>
      </c>
      <c r="J11" s="24">
        <v>17</v>
      </c>
      <c r="K11" s="19" t="s">
        <v>72</v>
      </c>
    </row>
    <row r="12" spans="1:17" x14ac:dyDescent="0.25">
      <c r="A12" s="13" t="s">
        <v>120</v>
      </c>
      <c r="B12" s="18" t="s">
        <v>123</v>
      </c>
      <c r="C12" s="19" t="s">
        <v>24</v>
      </c>
      <c r="D12" s="20" t="s">
        <v>9</v>
      </c>
      <c r="E12" s="21" t="s">
        <v>16</v>
      </c>
      <c r="F12" s="22">
        <v>22</v>
      </c>
      <c r="G12" s="7">
        <v>5</v>
      </c>
      <c r="H12" s="30">
        <f t="shared" si="0"/>
        <v>17</v>
      </c>
      <c r="I12" s="23">
        <v>18</v>
      </c>
      <c r="J12" s="24">
        <v>13</v>
      </c>
      <c r="K12" s="19" t="s">
        <v>70</v>
      </c>
    </row>
    <row r="13" spans="1:17" x14ac:dyDescent="0.25">
      <c r="A13" s="13" t="s">
        <v>120</v>
      </c>
      <c r="B13" s="18" t="s">
        <v>123</v>
      </c>
      <c r="C13" s="19" t="s">
        <v>25</v>
      </c>
      <c r="D13" s="20" t="s">
        <v>9</v>
      </c>
      <c r="E13" s="21" t="s">
        <v>16</v>
      </c>
      <c r="F13" s="22">
        <v>39</v>
      </c>
      <c r="G13" s="7">
        <v>8</v>
      </c>
      <c r="H13" s="30">
        <f t="shared" si="0"/>
        <v>31</v>
      </c>
      <c r="I13" s="23">
        <v>20</v>
      </c>
      <c r="J13" s="24">
        <v>15</v>
      </c>
      <c r="K13" s="19" t="s">
        <v>71</v>
      </c>
    </row>
    <row r="14" spans="1:17" x14ac:dyDescent="0.25">
      <c r="A14" s="13" t="s">
        <v>124</v>
      </c>
      <c r="B14" s="18" t="s">
        <v>121</v>
      </c>
      <c r="C14" s="19" t="s">
        <v>26</v>
      </c>
      <c r="D14" s="20" t="s">
        <v>10</v>
      </c>
      <c r="E14" s="21" t="s">
        <v>31</v>
      </c>
      <c r="F14" s="22">
        <v>43</v>
      </c>
      <c r="G14" s="7">
        <v>4</v>
      </c>
      <c r="H14" s="30">
        <f t="shared" si="0"/>
        <v>39</v>
      </c>
      <c r="I14" s="23">
        <v>22</v>
      </c>
      <c r="J14" s="24">
        <v>18</v>
      </c>
      <c r="K14" s="19" t="s">
        <v>80</v>
      </c>
    </row>
    <row r="15" spans="1:17" x14ac:dyDescent="0.25">
      <c r="A15" s="13" t="s">
        <v>124</v>
      </c>
      <c r="B15" s="18" t="s">
        <v>121</v>
      </c>
      <c r="C15" s="19" t="s">
        <v>27</v>
      </c>
      <c r="D15" s="20" t="s">
        <v>10</v>
      </c>
      <c r="E15" s="21" t="s">
        <v>31</v>
      </c>
      <c r="F15" s="22">
        <v>25</v>
      </c>
      <c r="G15" s="7">
        <v>5</v>
      </c>
      <c r="H15" s="30">
        <f t="shared" si="0"/>
        <v>20</v>
      </c>
      <c r="I15" s="23">
        <v>20</v>
      </c>
      <c r="J15" s="24">
        <v>15</v>
      </c>
      <c r="K15" s="19" t="s">
        <v>81</v>
      </c>
    </row>
    <row r="16" spans="1:17" x14ac:dyDescent="0.25">
      <c r="A16" s="13" t="s">
        <v>124</v>
      </c>
      <c r="B16" s="18" t="s">
        <v>121</v>
      </c>
      <c r="C16" s="19" t="s">
        <v>28</v>
      </c>
      <c r="D16" s="20" t="s">
        <v>10</v>
      </c>
      <c r="E16" s="21" t="s">
        <v>31</v>
      </c>
      <c r="F16" s="22">
        <v>35</v>
      </c>
      <c r="G16" s="7">
        <v>6</v>
      </c>
      <c r="H16" s="30">
        <f t="shared" si="0"/>
        <v>29</v>
      </c>
      <c r="I16" s="23">
        <v>18</v>
      </c>
      <c r="J16" s="24">
        <v>13</v>
      </c>
      <c r="K16" s="19" t="s">
        <v>82</v>
      </c>
    </row>
    <row r="17" spans="1:11" x14ac:dyDescent="0.25">
      <c r="A17" s="13" t="s">
        <v>124</v>
      </c>
      <c r="B17" s="18" t="s">
        <v>121</v>
      </c>
      <c r="C17" s="19" t="s">
        <v>29</v>
      </c>
      <c r="D17" s="20" t="s">
        <v>10</v>
      </c>
      <c r="E17" s="21" t="s">
        <v>31</v>
      </c>
      <c r="F17" s="22">
        <v>11</v>
      </c>
      <c r="G17" s="7">
        <v>1</v>
      </c>
      <c r="H17" s="30">
        <f t="shared" si="0"/>
        <v>10</v>
      </c>
      <c r="I17" s="23">
        <v>18</v>
      </c>
      <c r="J17" s="24">
        <v>13</v>
      </c>
      <c r="K17" s="19" t="s">
        <v>83</v>
      </c>
    </row>
    <row r="18" spans="1:11" x14ac:dyDescent="0.25">
      <c r="A18" s="13" t="s">
        <v>124</v>
      </c>
      <c r="B18" s="18" t="s">
        <v>122</v>
      </c>
      <c r="C18" s="19" t="s">
        <v>30</v>
      </c>
      <c r="D18" s="20" t="s">
        <v>10</v>
      </c>
      <c r="E18" s="21" t="s">
        <v>31</v>
      </c>
      <c r="F18" s="22">
        <v>8</v>
      </c>
      <c r="G18" s="7">
        <v>0</v>
      </c>
      <c r="H18" s="30">
        <f t="shared" si="0"/>
        <v>8</v>
      </c>
      <c r="I18" s="23">
        <v>18</v>
      </c>
      <c r="J18" s="24">
        <v>13</v>
      </c>
      <c r="K18" s="19" t="s">
        <v>84</v>
      </c>
    </row>
    <row r="19" spans="1:11" x14ac:dyDescent="0.25">
      <c r="A19" s="13" t="s">
        <v>124</v>
      </c>
      <c r="B19" s="18" t="s">
        <v>122</v>
      </c>
      <c r="C19" s="19" t="s">
        <v>32</v>
      </c>
      <c r="D19" s="20" t="s">
        <v>11</v>
      </c>
      <c r="E19" s="21" t="s">
        <v>31</v>
      </c>
      <c r="F19" s="22">
        <v>5</v>
      </c>
      <c r="G19" s="7">
        <v>1</v>
      </c>
      <c r="H19" s="30">
        <f t="shared" si="0"/>
        <v>4</v>
      </c>
      <c r="I19" s="23">
        <v>35</v>
      </c>
      <c r="J19" s="24">
        <v>30</v>
      </c>
      <c r="K19" s="19" t="s">
        <v>85</v>
      </c>
    </row>
    <row r="20" spans="1:11" x14ac:dyDescent="0.25">
      <c r="A20" s="13" t="s">
        <v>124</v>
      </c>
      <c r="B20" s="18" t="s">
        <v>122</v>
      </c>
      <c r="C20" s="19" t="s">
        <v>33</v>
      </c>
      <c r="D20" s="20" t="s">
        <v>11</v>
      </c>
      <c r="E20" s="21" t="s">
        <v>31</v>
      </c>
      <c r="F20" s="22">
        <v>6</v>
      </c>
      <c r="G20" s="7">
        <v>1</v>
      </c>
      <c r="H20" s="30">
        <f t="shared" si="0"/>
        <v>5</v>
      </c>
      <c r="I20" s="23">
        <v>24</v>
      </c>
      <c r="J20" s="24">
        <v>19</v>
      </c>
      <c r="K20" s="19" t="s">
        <v>86</v>
      </c>
    </row>
    <row r="21" spans="1:11" x14ac:dyDescent="0.25">
      <c r="A21" s="13" t="s">
        <v>124</v>
      </c>
      <c r="B21" s="18" t="s">
        <v>122</v>
      </c>
      <c r="C21" s="19" t="s">
        <v>35</v>
      </c>
      <c r="D21" s="20" t="s">
        <v>11</v>
      </c>
      <c r="E21" s="21" t="s">
        <v>31</v>
      </c>
      <c r="F21" s="22">
        <v>8</v>
      </c>
      <c r="G21" s="7">
        <v>3</v>
      </c>
      <c r="H21" s="30">
        <f t="shared" si="0"/>
        <v>5</v>
      </c>
      <c r="I21" s="23">
        <v>20</v>
      </c>
      <c r="J21" s="24">
        <v>15</v>
      </c>
      <c r="K21" s="19" t="s">
        <v>87</v>
      </c>
    </row>
    <row r="22" spans="1:11" x14ac:dyDescent="0.25">
      <c r="A22" s="13" t="s">
        <v>124</v>
      </c>
      <c r="B22" s="18" t="s">
        <v>122</v>
      </c>
      <c r="C22" s="19" t="s">
        <v>34</v>
      </c>
      <c r="D22" s="20" t="s">
        <v>11</v>
      </c>
      <c r="E22" s="21" t="s">
        <v>31</v>
      </c>
      <c r="F22" s="22">
        <v>4</v>
      </c>
      <c r="G22" s="7">
        <v>2</v>
      </c>
      <c r="H22" s="30">
        <f t="shared" si="0"/>
        <v>2</v>
      </c>
      <c r="I22" s="23">
        <v>25</v>
      </c>
      <c r="J22" s="24">
        <v>20</v>
      </c>
      <c r="K22" s="19" t="s">
        <v>88</v>
      </c>
    </row>
    <row r="23" spans="1:11" x14ac:dyDescent="0.25">
      <c r="A23" s="13" t="s">
        <v>124</v>
      </c>
      <c r="B23" s="18" t="s">
        <v>123</v>
      </c>
      <c r="C23" s="19" t="s">
        <v>36</v>
      </c>
      <c r="D23" s="20" t="s">
        <v>11</v>
      </c>
      <c r="E23" s="21" t="s">
        <v>31</v>
      </c>
      <c r="F23" s="22">
        <v>5</v>
      </c>
      <c r="G23" s="7">
        <v>2</v>
      </c>
      <c r="H23" s="30">
        <f t="shared" si="0"/>
        <v>3</v>
      </c>
      <c r="I23" s="23">
        <v>20</v>
      </c>
      <c r="J23" s="24">
        <v>15</v>
      </c>
      <c r="K23" s="19" t="s">
        <v>89</v>
      </c>
    </row>
    <row r="24" spans="1:11" x14ac:dyDescent="0.25">
      <c r="A24" s="13" t="s">
        <v>124</v>
      </c>
      <c r="B24" s="18" t="s">
        <v>123</v>
      </c>
      <c r="C24" s="19" t="s">
        <v>37</v>
      </c>
      <c r="D24" s="20" t="s">
        <v>11</v>
      </c>
      <c r="E24" s="21" t="s">
        <v>31</v>
      </c>
      <c r="F24" s="22">
        <v>5</v>
      </c>
      <c r="G24" s="7">
        <v>1</v>
      </c>
      <c r="H24" s="30">
        <f t="shared" si="0"/>
        <v>4</v>
      </c>
      <c r="I24" s="23">
        <v>25</v>
      </c>
      <c r="J24" s="24">
        <v>20</v>
      </c>
      <c r="K24" s="19" t="s">
        <v>90</v>
      </c>
    </row>
    <row r="25" spans="1:11" x14ac:dyDescent="0.25">
      <c r="A25" s="13" t="s">
        <v>124</v>
      </c>
      <c r="B25" s="18" t="s">
        <v>123</v>
      </c>
      <c r="C25" s="19" t="s">
        <v>38</v>
      </c>
      <c r="D25" s="20" t="s">
        <v>11</v>
      </c>
      <c r="E25" s="21" t="s">
        <v>31</v>
      </c>
      <c r="F25" s="22">
        <v>10</v>
      </c>
      <c r="G25" s="7">
        <v>6</v>
      </c>
      <c r="H25" s="30">
        <f t="shared" si="0"/>
        <v>4</v>
      </c>
      <c r="I25" s="23">
        <v>20</v>
      </c>
      <c r="J25" s="24">
        <v>15</v>
      </c>
      <c r="K25" s="19" t="s">
        <v>91</v>
      </c>
    </row>
    <row r="26" spans="1:11" x14ac:dyDescent="0.25">
      <c r="A26" s="13" t="s">
        <v>124</v>
      </c>
      <c r="B26" s="18" t="s">
        <v>123</v>
      </c>
      <c r="C26" s="19" t="s">
        <v>39</v>
      </c>
      <c r="D26" s="20" t="s">
        <v>11</v>
      </c>
      <c r="E26" s="21" t="s">
        <v>31</v>
      </c>
      <c r="F26" s="22">
        <v>10</v>
      </c>
      <c r="G26" s="7">
        <v>2</v>
      </c>
      <c r="H26" s="30">
        <f t="shared" si="0"/>
        <v>8</v>
      </c>
      <c r="I26" s="23">
        <v>18</v>
      </c>
      <c r="J26" s="24">
        <v>13</v>
      </c>
      <c r="K26" s="19" t="s">
        <v>92</v>
      </c>
    </row>
    <row r="27" spans="1:11" x14ac:dyDescent="0.25">
      <c r="A27" s="13" t="s">
        <v>124</v>
      </c>
      <c r="B27" s="18" t="s">
        <v>123</v>
      </c>
      <c r="C27" s="19" t="s">
        <v>40</v>
      </c>
      <c r="D27" s="20" t="s">
        <v>11</v>
      </c>
      <c r="E27" s="21" t="s">
        <v>31</v>
      </c>
      <c r="F27" s="22">
        <v>12</v>
      </c>
      <c r="G27" s="7">
        <v>1</v>
      </c>
      <c r="H27" s="30">
        <f t="shared" si="0"/>
        <v>11</v>
      </c>
      <c r="I27" s="23">
        <v>18</v>
      </c>
      <c r="J27" s="24">
        <v>13</v>
      </c>
      <c r="K27" s="19" t="s">
        <v>93</v>
      </c>
    </row>
    <row r="28" spans="1:11" x14ac:dyDescent="0.25">
      <c r="A28" s="13" t="s">
        <v>124</v>
      </c>
      <c r="B28" s="18" t="s">
        <v>123</v>
      </c>
      <c r="C28" s="19" t="s">
        <v>41</v>
      </c>
      <c r="D28" s="20" t="s">
        <v>11</v>
      </c>
      <c r="E28" s="21" t="s">
        <v>31</v>
      </c>
      <c r="F28" s="22">
        <v>5</v>
      </c>
      <c r="G28" s="7">
        <v>0</v>
      </c>
      <c r="H28" s="30">
        <f t="shared" si="0"/>
        <v>5</v>
      </c>
      <c r="I28" s="23">
        <v>10</v>
      </c>
      <c r="J28" s="24">
        <v>5</v>
      </c>
      <c r="K28" s="19" t="s">
        <v>94</v>
      </c>
    </row>
    <row r="29" spans="1:11" x14ac:dyDescent="0.25">
      <c r="A29" s="13" t="s">
        <v>125</v>
      </c>
      <c r="B29" s="18" t="s">
        <v>121</v>
      </c>
      <c r="C29" s="19" t="s">
        <v>42</v>
      </c>
      <c r="D29" s="20" t="s">
        <v>12</v>
      </c>
      <c r="E29" s="21" t="s">
        <v>16</v>
      </c>
      <c r="F29" s="22">
        <v>41</v>
      </c>
      <c r="G29" s="7">
        <v>15</v>
      </c>
      <c r="H29" s="30">
        <f t="shared" si="0"/>
        <v>26</v>
      </c>
      <c r="I29" s="23">
        <v>20</v>
      </c>
      <c r="J29" s="24">
        <v>15</v>
      </c>
      <c r="K29" s="19" t="s">
        <v>95</v>
      </c>
    </row>
    <row r="30" spans="1:11" x14ac:dyDescent="0.25">
      <c r="A30" s="13" t="s">
        <v>125</v>
      </c>
      <c r="B30" s="18" t="s">
        <v>121</v>
      </c>
      <c r="C30" s="19" t="s">
        <v>43</v>
      </c>
      <c r="D30" s="20" t="s">
        <v>12</v>
      </c>
      <c r="E30" s="21" t="s">
        <v>16</v>
      </c>
      <c r="F30" s="22">
        <v>23</v>
      </c>
      <c r="G30" s="7">
        <v>6</v>
      </c>
      <c r="H30" s="30">
        <f t="shared" si="0"/>
        <v>17</v>
      </c>
      <c r="I30" s="23">
        <v>24</v>
      </c>
      <c r="J30" s="24">
        <v>19</v>
      </c>
      <c r="K30" s="19" t="s">
        <v>100</v>
      </c>
    </row>
    <row r="31" spans="1:11" x14ac:dyDescent="0.25">
      <c r="A31" s="13" t="s">
        <v>125</v>
      </c>
      <c r="B31" s="18" t="s">
        <v>121</v>
      </c>
      <c r="C31" s="19" t="s">
        <v>44</v>
      </c>
      <c r="D31" s="20" t="s">
        <v>12</v>
      </c>
      <c r="E31" s="21" t="s">
        <v>16</v>
      </c>
      <c r="F31" s="22">
        <v>11</v>
      </c>
      <c r="G31" s="7">
        <v>5</v>
      </c>
      <c r="H31" s="30">
        <f t="shared" si="0"/>
        <v>6</v>
      </c>
      <c r="I31" s="23">
        <v>24</v>
      </c>
      <c r="J31" s="24">
        <v>19</v>
      </c>
      <c r="K31" s="19" t="s">
        <v>96</v>
      </c>
    </row>
    <row r="32" spans="1:11" x14ac:dyDescent="0.25">
      <c r="A32" s="13" t="s">
        <v>125</v>
      </c>
      <c r="B32" s="18" t="s">
        <v>121</v>
      </c>
      <c r="C32" s="19" t="s">
        <v>45</v>
      </c>
      <c r="D32" s="20" t="s">
        <v>12</v>
      </c>
      <c r="E32" s="21" t="s">
        <v>52</v>
      </c>
      <c r="F32" s="22">
        <v>16</v>
      </c>
      <c r="G32" s="7">
        <v>6</v>
      </c>
      <c r="H32" s="30">
        <f t="shared" si="0"/>
        <v>10</v>
      </c>
      <c r="I32" s="23">
        <v>15</v>
      </c>
      <c r="J32" s="24">
        <v>10</v>
      </c>
      <c r="K32" s="19" t="s">
        <v>98</v>
      </c>
    </row>
    <row r="33" spans="1:11" x14ac:dyDescent="0.25">
      <c r="A33" s="13" t="s">
        <v>125</v>
      </c>
      <c r="B33" s="18" t="s">
        <v>121</v>
      </c>
      <c r="C33" s="19" t="s">
        <v>46</v>
      </c>
      <c r="D33" s="20" t="s">
        <v>12</v>
      </c>
      <c r="E33" s="21" t="s">
        <v>16</v>
      </c>
      <c r="F33" s="22">
        <v>23</v>
      </c>
      <c r="G33" s="7">
        <v>1</v>
      </c>
      <c r="H33" s="30">
        <f t="shared" si="0"/>
        <v>22</v>
      </c>
      <c r="I33" s="23">
        <v>18</v>
      </c>
      <c r="J33" s="24">
        <v>13</v>
      </c>
      <c r="K33" s="19" t="s">
        <v>101</v>
      </c>
    </row>
    <row r="34" spans="1:11" x14ac:dyDescent="0.25">
      <c r="A34" s="13" t="s">
        <v>125</v>
      </c>
      <c r="B34" s="18" t="s">
        <v>122</v>
      </c>
      <c r="C34" s="19" t="s">
        <v>47</v>
      </c>
      <c r="D34" s="20" t="s">
        <v>12</v>
      </c>
      <c r="E34" s="21" t="s">
        <v>16</v>
      </c>
      <c r="F34" s="22">
        <v>14</v>
      </c>
      <c r="G34" s="7">
        <v>8</v>
      </c>
      <c r="H34" s="30">
        <f t="shared" si="0"/>
        <v>6</v>
      </c>
      <c r="I34" s="23">
        <v>18</v>
      </c>
      <c r="J34" s="24">
        <v>13</v>
      </c>
      <c r="K34" s="19" t="s">
        <v>97</v>
      </c>
    </row>
    <row r="35" spans="1:11" x14ac:dyDescent="0.25">
      <c r="A35" s="13" t="s">
        <v>125</v>
      </c>
      <c r="B35" s="18" t="s">
        <v>122</v>
      </c>
      <c r="C35" s="19" t="s">
        <v>48</v>
      </c>
      <c r="D35" s="20" t="s">
        <v>12</v>
      </c>
      <c r="E35" s="21" t="s">
        <v>53</v>
      </c>
      <c r="F35" s="22">
        <v>6</v>
      </c>
      <c r="G35" s="7">
        <v>0</v>
      </c>
      <c r="H35" s="30">
        <f t="shared" si="0"/>
        <v>6</v>
      </c>
      <c r="I35" s="23">
        <v>20</v>
      </c>
      <c r="J35" s="24">
        <v>15</v>
      </c>
      <c r="K35" s="19" t="s">
        <v>102</v>
      </c>
    </row>
    <row r="36" spans="1:11" x14ac:dyDescent="0.25">
      <c r="A36" s="13" t="s">
        <v>125</v>
      </c>
      <c r="B36" s="18" t="s">
        <v>122</v>
      </c>
      <c r="C36" s="19" t="s">
        <v>49</v>
      </c>
      <c r="D36" s="20" t="s">
        <v>12</v>
      </c>
      <c r="E36" s="21" t="s">
        <v>16</v>
      </c>
      <c r="F36" s="22">
        <v>16</v>
      </c>
      <c r="G36" s="7">
        <v>9</v>
      </c>
      <c r="H36" s="30">
        <f t="shared" si="0"/>
        <v>7</v>
      </c>
      <c r="I36" s="23">
        <v>25</v>
      </c>
      <c r="J36" s="24">
        <v>20</v>
      </c>
      <c r="K36" s="19" t="s">
        <v>99</v>
      </c>
    </row>
    <row r="37" spans="1:11" x14ac:dyDescent="0.25">
      <c r="A37" s="13" t="s">
        <v>125</v>
      </c>
      <c r="B37" s="18" t="s">
        <v>122</v>
      </c>
      <c r="C37" s="19" t="s">
        <v>50</v>
      </c>
      <c r="D37" s="20" t="s">
        <v>12</v>
      </c>
      <c r="E37" s="21" t="s">
        <v>16</v>
      </c>
      <c r="F37" s="22">
        <v>28</v>
      </c>
      <c r="G37" s="7">
        <v>5</v>
      </c>
      <c r="H37" s="30">
        <f t="shared" si="0"/>
        <v>23</v>
      </c>
      <c r="I37" s="23">
        <v>25</v>
      </c>
      <c r="J37" s="24">
        <v>20</v>
      </c>
      <c r="K37" s="19" t="s">
        <v>103</v>
      </c>
    </row>
    <row r="38" spans="1:11" x14ac:dyDescent="0.25">
      <c r="A38" s="13" t="s">
        <v>125</v>
      </c>
      <c r="B38" s="18" t="s">
        <v>122</v>
      </c>
      <c r="C38" s="19" t="s">
        <v>51</v>
      </c>
      <c r="D38" s="20" t="s">
        <v>12</v>
      </c>
      <c r="E38" s="21" t="s">
        <v>16</v>
      </c>
      <c r="F38" s="22">
        <v>8</v>
      </c>
      <c r="G38" s="7">
        <v>1</v>
      </c>
      <c r="H38" s="30">
        <f t="shared" si="0"/>
        <v>7</v>
      </c>
      <c r="I38" s="23">
        <v>18</v>
      </c>
      <c r="J38" s="24">
        <v>13</v>
      </c>
      <c r="K38" s="19" t="s">
        <v>104</v>
      </c>
    </row>
    <row r="39" spans="1:11" x14ac:dyDescent="0.25">
      <c r="A39" s="13" t="s">
        <v>127</v>
      </c>
      <c r="B39" s="18" t="s">
        <v>121</v>
      </c>
      <c r="C39" s="19" t="s">
        <v>56</v>
      </c>
      <c r="D39" s="20" t="s">
        <v>13</v>
      </c>
      <c r="E39" s="21" t="s">
        <v>54</v>
      </c>
      <c r="F39" s="22">
        <v>41</v>
      </c>
      <c r="G39" s="7">
        <v>12</v>
      </c>
      <c r="H39" s="30">
        <f t="shared" si="0"/>
        <v>29</v>
      </c>
      <c r="I39" s="23">
        <v>22</v>
      </c>
      <c r="J39" s="24">
        <v>17</v>
      </c>
      <c r="K39" s="19" t="s">
        <v>105</v>
      </c>
    </row>
    <row r="40" spans="1:11" x14ac:dyDescent="0.25">
      <c r="A40" s="13" t="s">
        <v>127</v>
      </c>
      <c r="B40" s="18" t="s">
        <v>121</v>
      </c>
      <c r="C40" s="19" t="s">
        <v>57</v>
      </c>
      <c r="D40" s="20" t="s">
        <v>13</v>
      </c>
      <c r="E40" s="21" t="s">
        <v>54</v>
      </c>
      <c r="F40" s="22">
        <v>20</v>
      </c>
      <c r="G40" s="7">
        <v>4</v>
      </c>
      <c r="H40" s="30">
        <f t="shared" si="0"/>
        <v>16</v>
      </c>
      <c r="I40" s="23">
        <v>22</v>
      </c>
      <c r="J40" s="24">
        <v>17</v>
      </c>
      <c r="K40" s="19" t="s">
        <v>107</v>
      </c>
    </row>
    <row r="41" spans="1:11" x14ac:dyDescent="0.25">
      <c r="A41" s="13" t="s">
        <v>127</v>
      </c>
      <c r="B41" s="18" t="s">
        <v>121</v>
      </c>
      <c r="C41" s="19" t="s">
        <v>58</v>
      </c>
      <c r="D41" s="20" t="s">
        <v>13</v>
      </c>
      <c r="E41" s="21" t="s">
        <v>54</v>
      </c>
      <c r="F41" s="22">
        <v>27</v>
      </c>
      <c r="G41" s="7">
        <v>15</v>
      </c>
      <c r="H41" s="30">
        <f t="shared" si="0"/>
        <v>12</v>
      </c>
      <c r="I41" s="23">
        <v>22</v>
      </c>
      <c r="J41" s="24">
        <v>17</v>
      </c>
      <c r="K41" s="19" t="s">
        <v>108</v>
      </c>
    </row>
    <row r="42" spans="1:11" x14ac:dyDescent="0.25">
      <c r="A42" s="13" t="s">
        <v>127</v>
      </c>
      <c r="B42" s="18" t="s">
        <v>122</v>
      </c>
      <c r="C42" s="19" t="s">
        <v>59</v>
      </c>
      <c r="D42" s="20" t="s">
        <v>13</v>
      </c>
      <c r="E42" s="21" t="s">
        <v>54</v>
      </c>
      <c r="F42" s="22">
        <v>9</v>
      </c>
      <c r="G42" s="7">
        <v>3</v>
      </c>
      <c r="H42" s="30">
        <f t="shared" si="0"/>
        <v>6</v>
      </c>
      <c r="I42" s="23">
        <v>18</v>
      </c>
      <c r="J42" s="24">
        <v>13</v>
      </c>
      <c r="K42" s="19" t="s">
        <v>109</v>
      </c>
    </row>
    <row r="43" spans="1:11" x14ac:dyDescent="0.25">
      <c r="A43" s="13" t="s">
        <v>127</v>
      </c>
      <c r="B43" s="18" t="s">
        <v>122</v>
      </c>
      <c r="C43" s="19" t="s">
        <v>60</v>
      </c>
      <c r="D43" s="20" t="s">
        <v>13</v>
      </c>
      <c r="E43" s="21" t="s">
        <v>54</v>
      </c>
      <c r="F43" s="22">
        <v>9</v>
      </c>
      <c r="G43" s="7">
        <v>2</v>
      </c>
      <c r="H43" s="30">
        <f t="shared" si="0"/>
        <v>7</v>
      </c>
      <c r="I43" s="23">
        <v>18</v>
      </c>
      <c r="J43" s="24">
        <v>13</v>
      </c>
      <c r="K43" s="19" t="s">
        <v>110</v>
      </c>
    </row>
    <row r="44" spans="1:11" x14ac:dyDescent="0.25">
      <c r="A44" s="13" t="s">
        <v>127</v>
      </c>
      <c r="B44" s="18" t="s">
        <v>122</v>
      </c>
      <c r="C44" s="19" t="s">
        <v>61</v>
      </c>
      <c r="D44" s="20" t="s">
        <v>13</v>
      </c>
      <c r="E44" s="21" t="s">
        <v>54</v>
      </c>
      <c r="F44" s="22">
        <v>5</v>
      </c>
      <c r="G44" s="7">
        <v>0</v>
      </c>
      <c r="H44" s="30">
        <f t="shared" si="0"/>
        <v>5</v>
      </c>
      <c r="I44" s="23">
        <v>18</v>
      </c>
      <c r="J44" s="24">
        <v>13</v>
      </c>
      <c r="K44" s="19" t="s">
        <v>106</v>
      </c>
    </row>
    <row r="45" spans="1:11" x14ac:dyDescent="0.25">
      <c r="A45" s="13" t="s">
        <v>127</v>
      </c>
      <c r="B45" s="18" t="s">
        <v>123</v>
      </c>
      <c r="C45" s="19" t="s">
        <v>62</v>
      </c>
      <c r="D45" s="20" t="s">
        <v>13</v>
      </c>
      <c r="E45" s="21" t="s">
        <v>54</v>
      </c>
      <c r="F45" s="22">
        <v>5</v>
      </c>
      <c r="G45" s="7">
        <v>0</v>
      </c>
      <c r="H45" s="30">
        <f t="shared" si="0"/>
        <v>5</v>
      </c>
      <c r="I45" s="23">
        <v>18</v>
      </c>
      <c r="J45" s="24">
        <v>13</v>
      </c>
      <c r="K45" s="19" t="s">
        <v>111</v>
      </c>
    </row>
    <row r="46" spans="1:11" x14ac:dyDescent="0.25">
      <c r="A46" s="13" t="s">
        <v>127</v>
      </c>
      <c r="B46" s="18" t="s">
        <v>123</v>
      </c>
      <c r="C46" s="19" t="s">
        <v>63</v>
      </c>
      <c r="D46" s="20" t="s">
        <v>13</v>
      </c>
      <c r="E46" s="21" t="s">
        <v>54</v>
      </c>
      <c r="F46" s="22">
        <v>5</v>
      </c>
      <c r="G46" s="7">
        <v>2</v>
      </c>
      <c r="H46" s="30">
        <f t="shared" si="0"/>
        <v>3</v>
      </c>
      <c r="I46" s="23">
        <v>15</v>
      </c>
      <c r="J46" s="24">
        <v>10</v>
      </c>
      <c r="K46" s="19" t="s">
        <v>112</v>
      </c>
    </row>
    <row r="47" spans="1:11" x14ac:dyDescent="0.25">
      <c r="A47" s="13" t="s">
        <v>127</v>
      </c>
      <c r="B47" s="18" t="s">
        <v>123</v>
      </c>
      <c r="C47" s="19" t="s">
        <v>64</v>
      </c>
      <c r="D47" s="20" t="s">
        <v>13</v>
      </c>
      <c r="E47" s="21" t="s">
        <v>55</v>
      </c>
      <c r="F47" s="22">
        <v>46</v>
      </c>
      <c r="G47" s="7">
        <v>20</v>
      </c>
      <c r="H47" s="30">
        <f t="shared" si="0"/>
        <v>26</v>
      </c>
      <c r="I47" s="23">
        <v>12</v>
      </c>
      <c r="J47" s="24">
        <v>7</v>
      </c>
      <c r="K47" s="19" t="s">
        <v>113</v>
      </c>
    </row>
    <row r="48" spans="1:11" x14ac:dyDescent="0.25">
      <c r="A48" s="13" t="s">
        <v>129</v>
      </c>
      <c r="B48" s="18" t="s">
        <v>121</v>
      </c>
      <c r="C48" s="19" t="s">
        <v>65</v>
      </c>
      <c r="D48" s="20" t="s">
        <v>13</v>
      </c>
      <c r="E48" s="21" t="s">
        <v>55</v>
      </c>
      <c r="F48" s="22">
        <v>15</v>
      </c>
      <c r="G48" s="7">
        <v>3</v>
      </c>
      <c r="H48" s="30">
        <f t="shared" si="0"/>
        <v>12</v>
      </c>
      <c r="I48" s="23">
        <v>55</v>
      </c>
      <c r="J48" s="24">
        <v>35</v>
      </c>
      <c r="K48" s="19" t="s">
        <v>114</v>
      </c>
    </row>
    <row r="49" spans="1:11" x14ac:dyDescent="0.25">
      <c r="A49" s="13" t="s">
        <v>128</v>
      </c>
      <c r="B49" s="18" t="s">
        <v>121</v>
      </c>
      <c r="C49" s="19" t="s">
        <v>68</v>
      </c>
      <c r="D49" s="20" t="s">
        <v>14</v>
      </c>
      <c r="E49" s="21" t="s">
        <v>54</v>
      </c>
      <c r="F49" s="22">
        <v>32</v>
      </c>
      <c r="G49" s="7">
        <v>16</v>
      </c>
      <c r="H49" s="30">
        <f t="shared" si="0"/>
        <v>16</v>
      </c>
      <c r="I49" s="23">
        <v>18</v>
      </c>
      <c r="J49" s="24">
        <v>13</v>
      </c>
      <c r="K49" s="19" t="s">
        <v>115</v>
      </c>
    </row>
    <row r="50" spans="1:11" x14ac:dyDescent="0.25">
      <c r="A50" s="13" t="s">
        <v>128</v>
      </c>
      <c r="B50" s="18" t="s">
        <v>122</v>
      </c>
      <c r="C50" s="19" t="s">
        <v>67</v>
      </c>
      <c r="D50" s="20" t="s">
        <v>14</v>
      </c>
      <c r="E50" s="21" t="s">
        <v>54</v>
      </c>
      <c r="F50" s="22">
        <v>15</v>
      </c>
      <c r="G50" s="7">
        <v>2</v>
      </c>
      <c r="H50" s="30">
        <f t="shared" si="0"/>
        <v>13</v>
      </c>
      <c r="I50" s="23">
        <v>18</v>
      </c>
      <c r="J50" s="24">
        <v>13</v>
      </c>
      <c r="K50" s="19" t="s">
        <v>116</v>
      </c>
    </row>
    <row r="51" spans="1:11" x14ac:dyDescent="0.25">
      <c r="A51" s="13" t="s">
        <v>128</v>
      </c>
      <c r="B51" s="18" t="s">
        <v>123</v>
      </c>
      <c r="C51" s="19" t="s">
        <v>58</v>
      </c>
      <c r="D51" s="20" t="s">
        <v>14</v>
      </c>
      <c r="E51" s="21" t="s">
        <v>54</v>
      </c>
      <c r="F51" s="22">
        <v>11</v>
      </c>
      <c r="G51" s="7">
        <v>1</v>
      </c>
      <c r="H51" s="30">
        <f t="shared" si="0"/>
        <v>10</v>
      </c>
      <c r="I51" s="23">
        <v>18</v>
      </c>
      <c r="J51" s="24">
        <v>13</v>
      </c>
      <c r="K51" s="19" t="s">
        <v>117</v>
      </c>
    </row>
    <row r="52" spans="1:11" x14ac:dyDescent="0.25">
      <c r="A52" s="13" t="s">
        <v>128</v>
      </c>
      <c r="B52" s="18" t="s">
        <v>126</v>
      </c>
      <c r="C52" s="19" t="s">
        <v>66</v>
      </c>
      <c r="D52" s="20" t="s">
        <v>14</v>
      </c>
      <c r="E52" s="21" t="s">
        <v>54</v>
      </c>
      <c r="F52" s="22">
        <v>8</v>
      </c>
      <c r="G52" s="7">
        <v>3</v>
      </c>
      <c r="H52" s="30">
        <f t="shared" si="0"/>
        <v>5</v>
      </c>
      <c r="I52" s="23">
        <v>20</v>
      </c>
      <c r="J52" s="24">
        <v>15</v>
      </c>
      <c r="K52" s="19" t="s">
        <v>118</v>
      </c>
    </row>
    <row r="53" spans="1:11" x14ac:dyDescent="0.25">
      <c r="A53" s="13" t="s">
        <v>128</v>
      </c>
      <c r="B53" s="18" t="s">
        <v>130</v>
      </c>
      <c r="C53" s="19" t="s">
        <v>69</v>
      </c>
      <c r="D53" s="20" t="s">
        <v>14</v>
      </c>
      <c r="E53" s="21" t="s">
        <v>54</v>
      </c>
      <c r="F53" s="22">
        <v>5</v>
      </c>
      <c r="G53" s="7">
        <v>1</v>
      </c>
      <c r="H53" s="30">
        <f t="shared" si="0"/>
        <v>4</v>
      </c>
      <c r="I53" s="23">
        <v>20</v>
      </c>
      <c r="J53" s="24">
        <v>15</v>
      </c>
      <c r="K53" s="19" t="s">
        <v>119</v>
      </c>
    </row>
  </sheetData>
  <phoneticPr fontId="4" type="noConversion"/>
  <pageMargins left="0.7" right="0.7" top="0.75" bottom="0.75" header="0.3" footer="0.3"/>
  <pageSetup scale="6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Tadeo Lyle</dc:creator>
  <cp:lastModifiedBy>Tadeo Lyle</cp:lastModifiedBy>
  <cp:lastPrinted>2023-08-16T05:14:22Z</cp:lastPrinted>
  <dcterms:created xsi:type="dcterms:W3CDTF">2023-08-16T04:21:22Z</dcterms:created>
  <dcterms:modified xsi:type="dcterms:W3CDTF">2023-08-25T02:24:17Z</dcterms:modified>
</cp:coreProperties>
</file>