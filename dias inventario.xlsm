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Tareas\archivos modelos comp\"/>
    </mc:Choice>
  </mc:AlternateContent>
  <xr:revisionPtr revIDLastSave="0" documentId="13_ncr:1_{E950B664-4820-451B-AF72-69D2ED3E86BB}" xr6:coauthVersionLast="47" xr6:coauthVersionMax="47" xr10:uidLastSave="{00000000-0000-0000-0000-000000000000}"/>
  <bookViews>
    <workbookView xWindow="-120" yWindow="-120" windowWidth="20730" windowHeight="11160" xr2:uid="{0A3861C0-81F4-4809-86C3-D2780A77D0CF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  <c r="E15" i="1"/>
  <c r="D15" i="1"/>
  <c r="C15" i="1"/>
  <c r="H8" i="1"/>
  <c r="F4" i="1"/>
  <c r="F5" i="1"/>
  <c r="F6" i="1"/>
  <c r="F7" i="1"/>
  <c r="F8" i="1"/>
  <c r="F9" i="1"/>
  <c r="F10" i="1"/>
  <c r="F11" i="1"/>
  <c r="F12" i="1"/>
  <c r="F13" i="1"/>
  <c r="F14" i="1"/>
  <c r="F3" i="1"/>
</calcChain>
</file>

<file path=xl/sharedStrings.xml><?xml version="1.0" encoding="utf-8"?>
<sst xmlns="http://schemas.openxmlformats.org/spreadsheetml/2006/main" count="20" uniqueCount="20">
  <si>
    <t>Mes</t>
  </si>
  <si>
    <t>Inventario inicial</t>
  </si>
  <si>
    <t xml:space="preserve">Demanda </t>
  </si>
  <si>
    <t>Ventas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</si>
  <si>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</si>
  <si>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</si>
  <si>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</si>
  <si>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</si>
  <si>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</si>
  <si>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</si>
  <si>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</si>
  <si>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</si>
  <si>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</si>
  <si>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</si>
  <si>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</si>
  <si>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</si>
  <si>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Promedio</t>
  </si>
  <si>
    <t>Dias de inventario</t>
  </si>
  <si>
    <t>Dìas de inventario=</t>
  </si>
  <si>
    <t>Estado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</si>
</sst>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righ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47625</xdr:colOff>
      <xdr:row>1</xdr:row>
      <xdr:rowOff>61912</xdr:rowOff>
    </xdr:from>
    <xdr:ext cx="1507144" cy="4967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B13A2B73-BB81-89D8-F29F-99A548A1976C}"/>
                </a:ext>
              </a:extLst>
            </xdr:cNvPr>
            <xdr:cNvSpPr txBox="1"/>
          </xdr:nvSpPr>
          <xdr:spPr>
            <a:xfrm>
              <a:off x="7486650" y="252412"/>
              <a:ext cx="1507144" cy="4967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10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𝑢𝑛𝑖𝑑𝑎𝑑𝑒𝑠</m:t>
                            </m:r>
                          </m:e>
                        </m:d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𝑢𝑛𝑖𝑑𝑎𝑑𝑒𝑠</m:t>
                                </m:r>
                              </m:num>
                              <m:den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𝑑𝑖𝑎</m:t>
                                </m:r>
                              </m:den>
                            </m:f>
                          </m:e>
                        </m:d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=5</m:t>
                    </m:r>
                    <m:d>
                      <m:dPr>
                        <m:begChr m:val="["/>
                        <m:endChr m:val="]"/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𝑑𝑖𝑎𝑠</m:t>
                        </m:r>
                      </m:e>
                    </m:d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B13A2B73-BB81-89D8-F29F-99A548A1976C}"/>
                </a:ext>
              </a:extLst>
            </xdr:cNvPr>
            <xdr:cNvSpPr txBox="1"/>
          </xdr:nvSpPr>
          <xdr:spPr>
            <a:xfrm>
              <a:off x="7486650" y="252412"/>
              <a:ext cx="1507144" cy="4967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10[𝑢𝑛𝑖𝑑𝑎𝑑𝑒𝑠]</a:t>
              </a:r>
              <a:r>
                <a:rPr lang="es-MX" sz="1100" b="0" i="0">
                  <a:latin typeface="Cambria Math" panose="02040503050406030204" pitchFamily="18" charset="0"/>
                </a:rPr>
                <a:t>/</a:t>
              </a:r>
              <a:r>
                <a:rPr lang="es-ES" sz="1100" b="0" i="0">
                  <a:latin typeface="Cambria Math" panose="02040503050406030204" pitchFamily="18" charset="0"/>
                </a:rPr>
                <a:t>2[𝑢𝑛𝑖𝑑𝑎𝑑𝑒𝑠/𝑑𝑖𝑎]</a:t>
              </a:r>
              <a:r>
                <a:rPr lang="es-MX" sz="1100" b="0" i="0">
                  <a:latin typeface="Cambria Math" panose="02040503050406030204" pitchFamily="18" charset="0"/>
                </a:rPr>
                <a:t> </a:t>
              </a:r>
              <a:r>
                <a:rPr lang="es-ES" sz="1100" b="0" i="0">
                  <a:latin typeface="Cambria Math" panose="02040503050406030204" pitchFamily="18" charset="0"/>
                </a:rPr>
                <a:t>=5[𝑑𝑖𝑎𝑠]</a:t>
              </a:r>
              <a:endParaRPr lang="es-MX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080C-4AA0-47DF-9CDD-DF19AAF0B1FE}">
  <sheetPr codeName="Hoja1"/>
  <dimension ref="B2:H16"/>
  <sheetViews>
    <sheetView tabSelected="1" workbookViewId="0">
      <selection activeCell="C17" sqref="C17"/>
    </sheetView>
  </sheetViews>
  <sheetFormatPr baseColWidth="10" defaultRowHeight="15" x14ac:dyDescent="0.25"/>
  <cols>
    <col min="2" max="2" width="18.140625" customWidth="1"/>
    <col min="3" max="3" width="18.5703125" customWidth="1"/>
    <col min="6" max="6" width="18.140625" customWidth="1"/>
    <col min="8" max="8" width="17.7109375" customWidth="1"/>
  </cols>
  <sheetData>
    <row r="2" spans="2:8" x14ac:dyDescent="0.25">
      <c r="B2" s="3" t="s">
        <v>0</v>
      </c>
      <c r="C2" s="3" t="s">
        <v>1</v>
      </c>
      <c r="D2" s="3" t="s">
        <v>2</v>
      </c>
      <c r="E2" s="3" t="s">
        <v>3</v>
      </c>
      <c r="F2" s="3" t="s">
        <v>19</v>
      </c>
    </row>
    <row r="3" spans="2:8" x14ac:dyDescent="0.25">
      <c r="B3" s="4" t="s">
        <v>4</v>
      </c>
      <c r="C3" s="4">
        <v>40</v>
      </c>
      <c r="D3" s="4">
        <v>17</v>
      </c>
      <c r="E3" s="4">
        <v>17</v>
      </c>
      <c r="F3" s="5" t="str">
        <f>IF(C3&lt;20,"Rellenar stock","Stock disponible")</f>
        <v>Stock disponible</v>
      </c>
      <c r="H3" t="s">
        <v>18</v>
      </c>
    </row>
    <row r="4" spans="2:8" x14ac:dyDescent="0.25">
      <c r="B4" s="4" t="s">
        <v>5</v>
      </c>
      <c r="C4" s="4">
        <v>23</v>
      </c>
      <c r="D4" s="4">
        <v>15</v>
      </c>
      <c r="E4" s="4">
        <v>15</v>
      </c>
      <c r="F4" s="5" t="str">
        <f t="shared" ref="F4:F14" si="0">IF(C4&lt;20,"Rellenar stock","Stock disponible")</f>
        <v>Stock disponible</v>
      </c>
    </row>
    <row r="5" spans="2:8" x14ac:dyDescent="0.25">
      <c r="B5" s="4" t="s">
        <v>6</v>
      </c>
      <c r="C5" s="4">
        <v>8</v>
      </c>
      <c r="D5" s="4">
        <v>10</v>
      </c>
      <c r="E5" s="4">
        <v>8</v>
      </c>
      <c r="F5" s="5" t="str">
        <f t="shared" si="0"/>
        <v>Rellenar stock</v>
      </c>
    </row>
    <row r="6" spans="2:8" x14ac:dyDescent="0.25">
      <c r="B6" s="4" t="s">
        <v>7</v>
      </c>
      <c r="C6" s="4">
        <v>42</v>
      </c>
      <c r="D6" s="4">
        <v>12</v>
      </c>
      <c r="E6" s="4">
        <v>12</v>
      </c>
      <c r="F6" s="5" t="str">
        <f t="shared" si="0"/>
        <v>Stock disponible</v>
      </c>
    </row>
    <row r="7" spans="2:8" x14ac:dyDescent="0.25">
      <c r="B7" s="4" t="s">
        <v>8</v>
      </c>
      <c r="C7" s="4">
        <v>30</v>
      </c>
      <c r="D7" s="4">
        <v>13</v>
      </c>
      <c r="E7" s="4">
        <v>13</v>
      </c>
      <c r="F7" s="5" t="str">
        <f t="shared" si="0"/>
        <v>Stock disponible</v>
      </c>
    </row>
    <row r="8" spans="2:8" x14ac:dyDescent="0.25">
      <c r="B8" s="4" t="s">
        <v>9</v>
      </c>
      <c r="C8" s="4">
        <v>17</v>
      </c>
      <c r="D8" s="4">
        <v>15</v>
      </c>
      <c r="E8" s="4">
        <v>15</v>
      </c>
      <c r="F8" s="5" t="str">
        <f t="shared" si="0"/>
        <v>Rellenar stock</v>
      </c>
      <c r="H8">
        <f>COUNTIF(C3:C14,"&lt;20")</f>
        <v>3</v>
      </c>
    </row>
    <row r="9" spans="2:8" x14ac:dyDescent="0.25">
      <c r="B9" s="4" t="s">
        <v>10</v>
      </c>
      <c r="C9" s="4">
        <v>43</v>
      </c>
      <c r="D9" s="4">
        <v>18</v>
      </c>
      <c r="E9" s="4">
        <v>18</v>
      </c>
      <c r="F9" s="5" t="str">
        <f t="shared" si="0"/>
        <v>Stock disponible</v>
      </c>
    </row>
    <row r="10" spans="2:8" x14ac:dyDescent="0.25">
      <c r="B10" s="4" t="s">
        <v>11</v>
      </c>
      <c r="C10" s="4">
        <v>25</v>
      </c>
      <c r="D10" s="4">
        <v>25</v>
      </c>
      <c r="E10" s="4">
        <v>25</v>
      </c>
      <c r="F10" s="5" t="str">
        <f t="shared" si="0"/>
        <v>Stock disponible</v>
      </c>
    </row>
    <row r="11" spans="2:8" x14ac:dyDescent="0.25">
      <c r="B11" s="4" t="s">
        <v>12</v>
      </c>
      <c r="C11" s="4">
        <v>0</v>
      </c>
      <c r="D11" s="4">
        <v>12</v>
      </c>
      <c r="E11" s="4">
        <v>0</v>
      </c>
      <c r="F11" s="5" t="str">
        <f t="shared" si="0"/>
        <v>Rellenar stock</v>
      </c>
    </row>
    <row r="12" spans="2:8" x14ac:dyDescent="0.25">
      <c r="B12" s="4" t="s">
        <v>13</v>
      </c>
      <c r="C12" s="4">
        <v>50</v>
      </c>
      <c r="D12" s="4">
        <v>12</v>
      </c>
      <c r="E12" s="4">
        <v>12</v>
      </c>
      <c r="F12" s="5" t="str">
        <f t="shared" si="0"/>
        <v>Stock disponible</v>
      </c>
    </row>
    <row r="13" spans="2:8" x14ac:dyDescent="0.25">
      <c r="B13" s="4" t="s">
        <v>14</v>
      </c>
      <c r="C13" s="4">
        <v>30</v>
      </c>
      <c r="D13" s="4">
        <v>11</v>
      </c>
      <c r="E13" s="4">
        <v>11</v>
      </c>
      <c r="F13" s="5" t="str">
        <f t="shared" si="0"/>
        <v>Stock disponible</v>
      </c>
    </row>
    <row r="14" spans="2:8" x14ac:dyDescent="0.25">
      <c r="B14" s="4" t="s">
        <v>15</v>
      </c>
      <c r="C14" s="4">
        <v>27</v>
      </c>
      <c r="D14" s="4">
        <v>17</v>
      </c>
      <c r="E14" s="4">
        <v>17</v>
      </c>
      <c r="F14" s="5" t="str">
        <f t="shared" si="0"/>
        <v>Stock disponible</v>
      </c>
    </row>
    <row r="15" spans="2:8" x14ac:dyDescent="0.25">
      <c r="B15" s="1" t="s">
        <v>16</v>
      </c>
      <c r="C15" s="2">
        <f>AVERAGE(C3:C14)</f>
        <v>27.916666666666668</v>
      </c>
      <c r="D15" s="2">
        <f>AVERAGE(D3:D14)</f>
        <v>14.75</v>
      </c>
      <c r="E15" s="2">
        <f>AVERAGE(E3:E14)</f>
        <v>13.583333333333334</v>
      </c>
      <c r="F15" s="2"/>
    </row>
    <row r="16" spans="2:8" x14ac:dyDescent="0.25">
      <c r="B16" s="1" t="s">
        <v>17</v>
      </c>
      <c r="C16" s="2">
        <f>C15/E15</f>
        <v>2.0552147239263805</v>
      </c>
      <c r="D16" s="2"/>
      <c r="E16" s="2"/>
      <c r="F16" s="2"/>
    </row>
  </sheetData>
  <phoneticPr fontId="1" type="noConversion"/>
  <conditionalFormatting sqref="C3:C14">
    <cfRule type="cellIs" dxfId="0" priority="1" operator="lessThan">
      <formula>20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REDES</dc:creator>
  <cp:lastModifiedBy>REDES10</cp:lastModifiedBy>
  <dcterms:created xsi:type="dcterms:W3CDTF">2023-08-17T13:24:21Z</dcterms:created>
  <dcterms:modified xsi:type="dcterms:W3CDTF">2023-08-23T13:35:08Z</dcterms:modified>
</cp:coreProperties>
</file>